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rddimensionmillwork.sharepoint.com/sites/TDM2025-013-AuroraSafewayReginaSK/Shared Documents/02_Active Drawings/PCN_Clarifications/PCN42/"/>
    </mc:Choice>
  </mc:AlternateContent>
  <xr:revisionPtr revIDLastSave="106" documentId="8_{AFD6C6E6-89C7-4A6A-8DF5-4E1E2F47A08A}" xr6:coauthVersionLast="47" xr6:coauthVersionMax="47" xr10:uidLastSave="{B4E9AECF-C1BE-483E-8B8B-31B6748B8327}"/>
  <bookViews>
    <workbookView xWindow="28695" yWindow="0" windowWidth="29010" windowHeight="15585" xr2:uid="{1F0BE129-9A8B-4466-BF40-8C8C9D668A1A}"/>
  </bookViews>
  <sheets>
    <sheet name="PC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I5" i="2" s="1"/>
  <c r="I7" i="2" s="1"/>
  <c r="I4" i="2"/>
  <c r="I3" i="2"/>
  <c r="I6" i="2"/>
  <c r="I31" i="2" l="1"/>
</calcChain>
</file>

<file path=xl/sharedStrings.xml><?xml version="1.0" encoding="utf-8"?>
<sst xmlns="http://schemas.openxmlformats.org/spreadsheetml/2006/main" count="16" uniqueCount="16">
  <si>
    <t>Material</t>
  </si>
  <si>
    <t>Quantity</t>
  </si>
  <si>
    <t>Cost</t>
  </si>
  <si>
    <t>Total</t>
  </si>
  <si>
    <t>5' Shelf Standard-white finish</t>
  </si>
  <si>
    <t>12"D Shelf  Bracket-white finish</t>
  </si>
  <si>
    <t>24"*12"*1/4" Tempered Glass</t>
  </si>
  <si>
    <t>Install</t>
  </si>
  <si>
    <t>PCN</t>
  </si>
  <si>
    <t>Keynote</t>
  </si>
  <si>
    <t xml:space="preserve">Drawing </t>
  </si>
  <si>
    <t>Markup</t>
  </si>
  <si>
    <t>PCN#4</t>
  </si>
  <si>
    <t>Floral shelf</t>
  </si>
  <si>
    <t>Richelieu 4180W12BC</t>
  </si>
  <si>
    <t>Richelieu 4080W5BC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</si>
</sst>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A37A-C31C-4557-874C-8289735E415E}">
  <dimension ref="A1:I31"/>
  <sheetViews>
    <sheetView tabSelected="1" workbookViewId="0">
      <selection activeCell="G5" sqref="G5"/>
    </sheetView>
  </sheetViews>
  <sheetFormatPr defaultRowHeight="15" x14ac:dyDescent="0.25"/>
  <cols>
    <col min="2" max="2" width="21.28515625" customWidth="1"/>
    <col min="3" max="3" width="34" customWidth="1"/>
    <col min="4" max="4" width="27.28515625" customWidth="1"/>
    <col min="5" max="5" width="19.28515625" customWidth="1"/>
    <col min="6" max="6" width="12.7109375" customWidth="1"/>
    <col min="7" max="7" width="13.140625" customWidth="1"/>
    <col min="8" max="8" width="12.140625" customWidth="1"/>
    <col min="9" max="9" width="13" customWidth="1"/>
  </cols>
  <sheetData>
    <row r="1" spans="1:9" x14ac:dyDescent="0.25">
      <c r="A1" s="3" t="s">
        <v>8</v>
      </c>
      <c r="B1" s="4" t="s">
        <v>9</v>
      </c>
      <c r="C1" s="4" t="s">
        <v>0</v>
      </c>
      <c r="D1" s="4" t="s">
        <v>10</v>
      </c>
      <c r="E1" s="4"/>
      <c r="F1" s="4" t="s">
        <v>1</v>
      </c>
      <c r="G1" s="4" t="s">
        <v>2</v>
      </c>
      <c r="H1" s="4" t="s">
        <v>11</v>
      </c>
      <c r="I1" s="4" t="s">
        <v>3</v>
      </c>
    </row>
    <row r="2" spans="1:9" ht="19.5" customHeight="1" x14ac:dyDescent="0.25">
      <c r="A2" s="5" t="s">
        <v>12</v>
      </c>
      <c r="B2" s="6"/>
      <c r="C2" s="6"/>
      <c r="D2" s="6"/>
      <c r="E2" s="7"/>
      <c r="F2" s="8"/>
      <c r="G2" s="9"/>
      <c r="H2" s="9"/>
      <c r="I2" s="9"/>
    </row>
    <row r="3" spans="1:9" x14ac:dyDescent="0.25">
      <c r="B3" t="s">
        <v>14</v>
      </c>
      <c r="C3" t="s">
        <v>5</v>
      </c>
      <c r="E3" s="10" t="s">
        <v>13</v>
      </c>
      <c r="F3">
        <v>40</v>
      </c>
      <c r="G3" s="1">
        <v>5</v>
      </c>
      <c r="H3" s="14">
        <v>1.3</v>
      </c>
      <c r="I3" s="1">
        <f>G3*F3*H3</f>
        <v>260</v>
      </c>
    </row>
    <row r="4" spans="1:9" x14ac:dyDescent="0.25">
      <c r="B4" t="s">
        <v>15</v>
      </c>
      <c r="C4" t="s">
        <v>4</v>
      </c>
      <c r="E4" s="10"/>
      <c r="F4">
        <v>10</v>
      </c>
      <c r="G4" s="1">
        <v>11.85</v>
      </c>
      <c r="H4" s="14">
        <v>1.3</v>
      </c>
      <c r="I4" s="1">
        <f>G4*F4*H4</f>
        <v>154.05000000000001</v>
      </c>
    </row>
    <row r="5" spans="1:9" x14ac:dyDescent="0.25">
      <c r="C5" t="s">
        <v>6</v>
      </c>
      <c r="E5" s="10"/>
      <c r="F5">
        <v>18</v>
      </c>
      <c r="G5" s="1">
        <f>48.8*1.05</f>
        <v>51.24</v>
      </c>
      <c r="H5" s="14">
        <v>1.3</v>
      </c>
      <c r="I5" s="1">
        <f>G5*F5*H5</f>
        <v>1199.0160000000001</v>
      </c>
    </row>
    <row r="6" spans="1:9" x14ac:dyDescent="0.25">
      <c r="E6" s="10" t="s">
        <v>7</v>
      </c>
      <c r="F6">
        <v>16</v>
      </c>
      <c r="G6" s="1">
        <v>95</v>
      </c>
      <c r="H6" s="1"/>
      <c r="I6" s="1">
        <f>G6*F6</f>
        <v>1520</v>
      </c>
    </row>
    <row r="7" spans="1:9" x14ac:dyDescent="0.25">
      <c r="E7" s="10"/>
      <c r="F7" s="11"/>
      <c r="G7" s="1"/>
      <c r="H7" s="1"/>
      <c r="I7" s="2">
        <f>SUM(I3:I6)</f>
        <v>3133.0659999999998</v>
      </c>
    </row>
    <row r="8" spans="1:9" x14ac:dyDescent="0.25">
      <c r="A8" s="5"/>
      <c r="B8" s="6"/>
      <c r="C8" s="6"/>
      <c r="D8" s="6"/>
      <c r="E8" s="7"/>
      <c r="F8" s="8"/>
      <c r="G8" s="9"/>
      <c r="H8" s="9"/>
      <c r="I8" s="9"/>
    </row>
    <row r="9" spans="1:9" x14ac:dyDescent="0.25">
      <c r="A9" s="12"/>
      <c r="F9" s="11"/>
      <c r="G9" s="1"/>
      <c r="H9" s="1"/>
      <c r="I9" s="1"/>
    </row>
    <row r="10" spans="1:9" x14ac:dyDescent="0.25">
      <c r="A10" s="12"/>
      <c r="F10" s="11"/>
      <c r="G10" s="1"/>
      <c r="H10" s="1"/>
      <c r="I10" s="1"/>
    </row>
    <row r="11" spans="1:9" x14ac:dyDescent="0.25">
      <c r="A11" s="12"/>
      <c r="F11" s="11"/>
      <c r="G11" s="1"/>
      <c r="H11" s="1"/>
      <c r="I11" s="1"/>
    </row>
    <row r="12" spans="1:9" x14ac:dyDescent="0.25">
      <c r="A12" s="12"/>
      <c r="F12" s="11"/>
      <c r="G12" s="1"/>
      <c r="H12" s="1"/>
      <c r="I12" s="1"/>
    </row>
    <row r="13" spans="1:9" x14ac:dyDescent="0.25">
      <c r="A13" s="12"/>
      <c r="F13" s="11"/>
      <c r="I13" s="1"/>
    </row>
    <row r="14" spans="1:9" x14ac:dyDescent="0.25">
      <c r="E14" s="10"/>
      <c r="F14" s="11"/>
      <c r="G14" s="1"/>
      <c r="H14" s="1"/>
      <c r="I14" s="1"/>
    </row>
    <row r="15" spans="1:9" x14ac:dyDescent="0.25">
      <c r="E15" s="10"/>
      <c r="F15" s="11"/>
      <c r="G15" s="1"/>
      <c r="H15" s="1"/>
      <c r="I15" s="1"/>
    </row>
    <row r="16" spans="1:9" x14ac:dyDescent="0.25">
      <c r="A16" s="12"/>
      <c r="F16" s="11"/>
      <c r="I16" s="13"/>
    </row>
    <row r="17" spans="1:9" x14ac:dyDescent="0.25">
      <c r="A17" s="5"/>
      <c r="B17" s="6"/>
      <c r="C17" s="6"/>
      <c r="D17" s="6"/>
      <c r="E17" s="6"/>
      <c r="F17" s="8"/>
      <c r="G17" s="6"/>
      <c r="H17" s="6"/>
      <c r="I17" s="6"/>
    </row>
    <row r="18" spans="1:9" x14ac:dyDescent="0.25">
      <c r="A18" s="3"/>
      <c r="F18" s="11"/>
      <c r="I18" s="1"/>
    </row>
    <row r="19" spans="1:9" x14ac:dyDescent="0.25">
      <c r="F19" s="11"/>
      <c r="I19" s="1"/>
    </row>
    <row r="20" spans="1:9" x14ac:dyDescent="0.25">
      <c r="F20" s="11"/>
      <c r="I20" s="1"/>
    </row>
    <row r="21" spans="1:9" x14ac:dyDescent="0.25">
      <c r="F21" s="11"/>
      <c r="I21" s="1"/>
    </row>
    <row r="22" spans="1:9" x14ac:dyDescent="0.25">
      <c r="E22" s="10"/>
      <c r="F22" s="11"/>
      <c r="G22" s="1"/>
      <c r="H22" s="1"/>
      <c r="I22" s="1"/>
    </row>
    <row r="23" spans="1:9" x14ac:dyDescent="0.25">
      <c r="E23" s="10"/>
      <c r="F23" s="11"/>
      <c r="G23" s="1"/>
      <c r="H23" s="1"/>
      <c r="I23" s="1"/>
    </row>
    <row r="24" spans="1:9" x14ac:dyDescent="0.25">
      <c r="F24" s="11"/>
      <c r="I24" s="13"/>
    </row>
    <row r="25" spans="1:9" x14ac:dyDescent="0.25">
      <c r="A25" s="5"/>
      <c r="B25" s="6"/>
      <c r="C25" s="6"/>
      <c r="D25" s="6"/>
      <c r="E25" s="6"/>
      <c r="F25" s="8"/>
      <c r="G25" s="6"/>
      <c r="H25" s="6"/>
      <c r="I25" s="6"/>
    </row>
    <row r="26" spans="1:9" x14ac:dyDescent="0.25">
      <c r="A26" s="3"/>
      <c r="F26" s="11"/>
      <c r="I26" s="1"/>
    </row>
    <row r="27" spans="1:9" x14ac:dyDescent="0.25">
      <c r="E27" s="10"/>
      <c r="F27" s="11"/>
      <c r="G27" s="1"/>
      <c r="H27" s="1"/>
      <c r="I27" s="1"/>
    </row>
    <row r="28" spans="1:9" x14ac:dyDescent="0.25">
      <c r="E28" s="10"/>
      <c r="F28" s="11"/>
      <c r="G28" s="1"/>
      <c r="H28" s="1"/>
      <c r="I28" s="1"/>
    </row>
    <row r="29" spans="1:9" x14ac:dyDescent="0.25">
      <c r="I29" s="13"/>
    </row>
    <row r="31" spans="1:9" x14ac:dyDescent="0.25">
      <c r="I31" s="2">
        <f>I29+I24+I16+I7</f>
        <v>3133.0659999999998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E443E760C2D4180EC66C1A18B2352" ma:contentTypeVersion="11" ma:contentTypeDescription="Create a new document." ma:contentTypeScope="" ma:versionID="4e7d62c75ee992885ebaa5cde55ccf43">
  <xsd:schema xmlns:xsd="http://www.w3.org/2001/XMLSchema" xmlns:xs="http://www.w3.org/2001/XMLSchema" xmlns:p="http://schemas.microsoft.com/office/2006/metadata/properties" xmlns:ns2="5c4ee903-3c23-47d0-8cad-156b3718e199" xmlns:ns3="20251996-0dcc-49d0-a463-1113ca7a3eba" targetNamespace="http://schemas.microsoft.com/office/2006/metadata/properties" ma:root="true" ma:fieldsID="511b6c9c8fee5cea7b7490e78629c347" ns2:_="" ns3:_="">
    <xsd:import namespace="5c4ee903-3c23-47d0-8cad-156b3718e199"/>
    <xsd:import namespace="20251996-0dcc-49d0-a463-1113ca7a3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ee903-3c23-47d0-8cad-156b3718e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8eb483-07b3-41af-bfe3-50f607173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51996-0dcc-49d0-a463-1113ca7a3e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b0171e-8150-4949-ae31-321bacab89ad}" ma:internalName="TaxCatchAll" ma:showField="CatchAllData" ma:web="20251996-0dcc-49d0-a463-1113ca7a3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ee903-3c23-47d0-8cad-156b3718e199">
      <Terms xmlns="http://schemas.microsoft.com/office/infopath/2007/PartnerControls"/>
    </lcf76f155ced4ddcb4097134ff3c332f>
    <TaxCatchAll xmlns="20251996-0dcc-49d0-a463-1113ca7a3e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CE23D2-BE6D-43D3-BCC5-778F00EFA3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ee903-3c23-47d0-8cad-156b3718e199"/>
    <ds:schemaRef ds:uri="20251996-0dcc-49d0-a463-1113ca7a3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3D15DE-1095-4059-B1C1-EFF8733BA12A}">
  <ds:schemaRefs>
    <ds:schemaRef ds:uri="http://schemas.microsoft.com/office/2006/metadata/properties"/>
    <ds:schemaRef ds:uri="http://schemas.microsoft.com/office/infopath/2007/PartnerControls"/>
    <ds:schemaRef ds:uri="5c4ee903-3c23-47d0-8cad-156b3718e199"/>
    <ds:schemaRef ds:uri="20251996-0dcc-49d0-a463-1113ca7a3eba"/>
  </ds:schemaRefs>
</ds:datastoreItem>
</file>

<file path=customXml/itemProps3.xml><?xml version="1.0" encoding="utf-8"?>
<ds:datastoreItem xmlns:ds="http://schemas.openxmlformats.org/officeDocument/2006/customXml" ds:itemID="{E9674A63-2958-46F9-855B-60BDA0C7ED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Estimating @ TDC</dc:creator>
  <cp:lastModifiedBy>Morgan @ TDM</cp:lastModifiedBy>
  <dcterms:created xsi:type="dcterms:W3CDTF">2025-10-30T22:03:50Z</dcterms:created>
  <dcterms:modified xsi:type="dcterms:W3CDTF">2025-11-05T19:55:01Z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0x010100FC7E443E760C2D4180EC66C1A18B2352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